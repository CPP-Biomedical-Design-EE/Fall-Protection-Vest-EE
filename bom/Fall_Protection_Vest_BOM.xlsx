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phongtruong2003/Desktop/Inflate Body/Documetaion/"/>
    </mc:Choice>
  </mc:AlternateContent>
  <xr:revisionPtr revIDLastSave="0" documentId="13_ncr:1_{A3D2EEED-1139-F64B-BFCF-6BE6F01D80B2}" xr6:coauthVersionLast="47" xr6:coauthVersionMax="47" xr10:uidLastSave="{00000000-0000-0000-0000-000000000000}"/>
  <bookViews>
    <workbookView xWindow="17100" yWindow="680" windowWidth="17100" windowHeight="20000" xr2:uid="{00000000-000D-0000-FFFF-FFFF00000000}"/>
  </bookViews>
  <sheets>
    <sheet name="EE 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F12" i="1"/>
  <c r="H12" i="1" s="1"/>
  <c r="B21" i="1"/>
  <c r="B20" i="1"/>
  <c r="B19" i="1"/>
  <c r="B18" i="1"/>
  <c r="B17" i="1"/>
  <c r="B16" i="1"/>
  <c r="B15" i="1"/>
  <c r="B24" i="1"/>
  <c r="H10" i="1"/>
  <c r="H9" i="1"/>
  <c r="H8" i="1"/>
  <c r="H7" i="1"/>
  <c r="B25" i="1" l="1"/>
  <c r="B22" i="1"/>
  <c r="B23" i="1"/>
</calcChain>
</file>

<file path=xl/sharedStrings.xml><?xml version="1.0" encoding="utf-8"?>
<sst xmlns="http://schemas.openxmlformats.org/spreadsheetml/2006/main" count="85" uniqueCount="67">
  <si>
    <t>Note: Shipping, tax, not included.</t>
  </si>
  <si>
    <t>Buy Now total</t>
  </si>
  <si>
    <t>Category</t>
  </si>
  <si>
    <t>Item Name</t>
  </si>
  <si>
    <t>Purpose</t>
  </si>
  <si>
    <t>Shop</t>
  </si>
  <si>
    <t>Unit Price</t>
  </si>
  <si>
    <t>Quantity</t>
  </si>
  <si>
    <t>Total</t>
  </si>
  <si>
    <t>Team Owner</t>
  </si>
  <si>
    <t>Stock / Choice</t>
  </si>
  <si>
    <t>Notes</t>
  </si>
  <si>
    <t>Controller</t>
  </si>
  <si>
    <t>DigiKey</t>
  </si>
  <si>
    <t>Firmware / MCU / IMU</t>
  </si>
  <si>
    <t>In stock</t>
  </si>
  <si>
    <t>Sensor</t>
  </si>
  <si>
    <t>Detect motion</t>
  </si>
  <si>
    <t>Cable</t>
  </si>
  <si>
    <t>STEMMA QT header cable</t>
  </si>
  <si>
    <t>Connect the IMU</t>
  </si>
  <si>
    <t>https://www.digikey.com/en/products/detail/adafruit-industries-llc/4209/10230003</t>
  </si>
  <si>
    <t>For I2C wiring.</t>
  </si>
  <si>
    <t>Prototyping</t>
  </si>
  <si>
    <t>Testing</t>
  </si>
  <si>
    <t>Power</t>
  </si>
  <si>
    <t>Power / Circuits</t>
  </si>
  <si>
    <t>https://www.digikey.com/en/products/detail/sparkfun-electronics/00526/17828344</t>
  </si>
  <si>
    <t>Not stocked</t>
  </si>
  <si>
    <t>May not be needed with the board.</t>
  </si>
  <si>
    <t>Output</t>
  </si>
  <si>
    <t>N-channel MOSFET</t>
  </si>
  <si>
    <t>Switch the valve</t>
  </si>
  <si>
    <t>https://www.digikey.com/en/products/detail/stmicroelectronics/STP55NF06L/1039551</t>
  </si>
  <si>
    <t>Confirm valve current first.</t>
  </si>
  <si>
    <t>Control air flow</t>
  </si>
  <si>
    <t>PCB</t>
  </si>
  <si>
    <t>Fall Protection Vest - EE Parts List</t>
  </si>
  <si>
    <t>Product Link</t>
  </si>
  <si>
    <t>Optional / Future Features</t>
  </si>
  <si>
    <t>Category subtotal</t>
  </si>
  <si>
    <t>EE material total</t>
  </si>
  <si>
    <t>GPS</t>
  </si>
  <si>
    <t>One IMU only.</t>
  </si>
  <si>
    <t>Use one only</t>
  </si>
  <si>
    <t>Main</t>
  </si>
  <si>
    <t>Controller for communication tests</t>
  </si>
  <si>
    <t>Location tracking prototype</t>
  </si>
  <si>
    <t>MPU-6050</t>
  </si>
  <si>
    <t>https://www.adafruit.com/product/3886?srsltid=AU7gw4WnAwnsa6XQEJQMAQ7IDdbr5B9YmRXPVD73ghnO41sUwc1LvaE4</t>
  </si>
  <si>
    <t>https://www.microcenter.com/product/704603/elegoo-esp-32-development-board-3-pack</t>
  </si>
  <si>
    <t>Elegoo ESP-32</t>
  </si>
  <si>
    <t xml:space="preserve">Microcenter </t>
  </si>
  <si>
    <t>Pin Punchcture for gas.  (Servo)</t>
  </si>
  <si>
    <t>Mechanical Decision</t>
  </si>
  <si>
    <t>Make 5 V power for MCU</t>
  </si>
  <si>
    <t>https://rcprinter.com/products/mg90s-metal-gear-9g-micro-servo</t>
  </si>
  <si>
    <t>Mech</t>
  </si>
  <si>
    <t>LTE</t>
  </si>
  <si>
    <t>ATGM336H</t>
  </si>
  <si>
    <t>https://muzi.works/products/gps-module-atgm336h?variant=44042070687801&amp;country=US&amp;currency=USD&amp;utm_medium=product_sync&amp;utm_source=google&amp;utm_content=sag_organic&amp;utm_campaign=sag_organic&amp;srsltid=AU7gw4W8_U6VfNOJbK2s0PzxtFfZdaGhkCuRvhFiX4sgV-jsOcUr4_YRrUI</t>
  </si>
  <si>
    <t>Muzi works</t>
  </si>
  <si>
    <t>https://m.elecrow.com/pages/shop/product/details?id=207633&amp;srsltid=AU7gw4WkNELzGttMYB8k4pEBEveqoDqMXXPwLDrxFddl8cz2gcexXqbK</t>
  </si>
  <si>
    <t>Instock</t>
  </si>
  <si>
    <t>Temporary because the one we aim is out of stock</t>
  </si>
  <si>
    <t>SIM7670</t>
  </si>
  <si>
    <t>Data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</si>
</sst>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\$#,##0.00"/>
  </numFmts>
  <fonts count="8">
    <font>
      <sz val="11"/>
      <name val="Carlito"/>
    </font>
    <font>
      <b/>
      <sz val="14"/>
      <color rgb="FF000000"/>
      <name val="Calibri"/>
      <family val="2"/>
    </font>
    <font>
      <i/>
      <sz val="11"/>
      <name val="Carlito"/>
    </font>
    <font>
      <b/>
      <sz val="11"/>
      <name val="Carlito"/>
    </font>
    <font>
      <sz val="11"/>
      <color theme="1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FF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164" fontId="3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0" fontId="4" fillId="0" borderId="0" xfId="1" applyAlignment="1">
      <alignment vertical="top" wrapText="1"/>
    </xf>
    <xf numFmtId="0" fontId="5" fillId="0" borderId="0" xfId="0" applyFont="1"/>
    <xf numFmtId="0" fontId="5" fillId="0" borderId="0" xfId="0" applyFon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1" fontId="5" fillId="0" borderId="0" xfId="0" applyNumberFormat="1" applyFont="1" applyAlignment="1">
      <alignment vertical="top" wrapText="1"/>
    </xf>
    <xf numFmtId="164" fontId="5" fillId="0" borderId="0" xfId="0" applyNumberFormat="1" applyFont="1"/>
    <xf numFmtId="0" fontId="6" fillId="0" borderId="0" xfId="0" applyFont="1"/>
    <xf numFmtId="164" fontId="6" fillId="0" borderId="0" xfId="0" applyNumberFormat="1" applyFont="1"/>
    <xf numFmtId="0" fontId="4" fillId="0" borderId="0" xfId="1"/>
    <xf numFmtId="0" fontId="1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3" fillId="0" borderId="0" xfId="0" applyFont="1"/>
    <xf numFmtId="0" fontId="7" fillId="2" borderId="0" xfId="0" applyFont="1" applyFill="1" applyAlignment="1">
      <alignment vertical="top" wrapText="1"/>
    </xf>
    <xf numFmtId="8" fontId="0" fillId="0" borderId="0" xfId="0" applyNumberFormat="1" applyAlignment="1">
      <alignment vertical="top"/>
    </xf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1248480</xdr:colOff>
      <xdr:row>8</xdr:row>
      <xdr:rowOff>683160</xdr:rowOff>
    </xdr:from>
    <xdr:to>
      <xdr:col>0</xdr:col>
      <xdr:colOff>1248840</xdr:colOff>
      <xdr:row>8</xdr:row>
      <xdr:rowOff>683520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CECFF21-6239-8F66-9C99-A37E906DB8C2}"/>
                </a:ext>
              </a:extLst>
            </xdr14:cNvPr>
            <xdr14:cNvContentPartPr/>
          </xdr14:nvContentPartPr>
          <xdr14:nvPr macro=""/>
          <xdr14:xfrm>
            <a:off x="1248480" y="4035960"/>
            <a:ext cx="360" cy="3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CECFF21-6239-8F66-9C99-A37E906DB8C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42360" y="40298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8T21:41:28.80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24575,'0'0'0</inkml:trace>
</inkml: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.elecrow.com/pages/shop/product/details?id=207633&amp;srsltid=AU7gw4WkNELzGttMYB8k4pEBEveqoDqMXXPwLDrxFddl8cz2gcexXqbK" TargetMode="External"/><Relationship Id="rId3" Type="http://schemas.openxmlformats.org/officeDocument/2006/relationships/hyperlink" Target="https://www.digikey.com/en/products/detail/sparkfun-electronics/00526/17828344" TargetMode="External"/><Relationship Id="rId7" Type="http://schemas.openxmlformats.org/officeDocument/2006/relationships/hyperlink" Target="https://muzi.works/products/gps-module-atgm336h?variant=44042070687801&amp;country=US&amp;currency=USD&amp;utm_medium=product_sync&amp;utm_source=google&amp;utm_content=sag_organic&amp;utm_campaign=sag_organic&amp;srsltid=AU7gw4W8_U6VfNOJbK2s0PzxtFfZdaGhkCuRvhFiX4sgV-jsOcUr4_YRrUI" TargetMode="External"/><Relationship Id="rId2" Type="http://schemas.openxmlformats.org/officeDocument/2006/relationships/hyperlink" Target="https://www.digikey.com/en/products/detail/adafruit-industries-llc/4209/10230003" TargetMode="External"/><Relationship Id="rId1" Type="http://schemas.openxmlformats.org/officeDocument/2006/relationships/hyperlink" Target="https://www.adafruit.com/product/3886?srsltid=AU7gw4WnAwnsa6XQEJQMAQ7IDdbr5B9YmRXPVD73ghnO41sUwc1LvaE4" TargetMode="External"/><Relationship Id="rId6" Type="http://schemas.openxmlformats.org/officeDocument/2006/relationships/hyperlink" Target="https://rcprinter.com/products/mg90s-metal-gear-9g-micro-servo" TargetMode="External"/><Relationship Id="rId5" Type="http://schemas.openxmlformats.org/officeDocument/2006/relationships/hyperlink" Target="https://www.microcenter.com/product/704603/elegoo-esp-32-development-board-3-pack" TargetMode="External"/><Relationship Id="rId4" Type="http://schemas.openxmlformats.org/officeDocument/2006/relationships/hyperlink" Target="https://www.digikey.com/en/products/detail/stmicroelectronics/STP55NF06L/1039551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zoomScale="75" workbookViewId="0">
      <selection activeCell="E13" sqref="E13"/>
    </sheetView>
  </sheetViews>
  <sheetFormatPr baseColWidth="10" defaultColWidth="8.83203125" defaultRowHeight="14"/>
  <cols>
    <col min="1" max="1" width="20" customWidth="1"/>
    <col min="2" max="2" width="27" customWidth="1"/>
    <col min="3" max="3" width="22" customWidth="1"/>
    <col min="4" max="4" width="12" customWidth="1"/>
    <col min="5" max="5" width="50" customWidth="1"/>
    <col min="6" max="6" width="11" customWidth="1"/>
    <col min="7" max="7" width="9" customWidth="1"/>
    <col min="8" max="8" width="11" customWidth="1"/>
    <col min="9" max="9" width="21" customWidth="1"/>
    <col min="10" max="10" width="16" customWidth="1"/>
    <col min="11" max="11" width="30" customWidth="1"/>
  </cols>
  <sheetData>
    <row r="1" spans="1:11" ht="19">
      <c r="A1" s="16" t="s">
        <v>37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1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4" spans="1:11" ht="15">
      <c r="A4" s="18" t="s">
        <v>1</v>
      </c>
      <c r="B4" s="18"/>
      <c r="C4" s="1"/>
      <c r="D4" s="18"/>
      <c r="E4" s="18"/>
      <c r="F4" s="2"/>
      <c r="G4" s="1"/>
      <c r="H4" s="1"/>
      <c r="I4" s="18"/>
      <c r="J4" s="18"/>
      <c r="K4" s="1"/>
    </row>
    <row r="6" spans="1:11" ht="48" customHeight="1">
      <c r="A6" s="3" t="s">
        <v>2</v>
      </c>
      <c r="B6" s="3" t="s">
        <v>3</v>
      </c>
      <c r="C6" s="3" t="s">
        <v>4</v>
      </c>
      <c r="D6" s="3" t="s">
        <v>5</v>
      </c>
      <c r="E6" s="3" t="s">
        <v>38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</row>
    <row r="7" spans="1:11" ht="69.25" customHeight="1">
      <c r="A7" s="4" t="s">
        <v>16</v>
      </c>
      <c r="B7" s="4" t="s">
        <v>48</v>
      </c>
      <c r="C7" s="4" t="s">
        <v>17</v>
      </c>
      <c r="D7" s="4" t="s">
        <v>13</v>
      </c>
      <c r="E7" s="7" t="s">
        <v>49</v>
      </c>
      <c r="F7" s="5">
        <v>12.95</v>
      </c>
      <c r="G7" s="6">
        <v>1</v>
      </c>
      <c r="H7" s="5">
        <f t="shared" ref="H7:H10" si="0">F7*G7</f>
        <v>12.95</v>
      </c>
      <c r="I7" s="4" t="s">
        <v>14</v>
      </c>
      <c r="J7" s="4" t="s">
        <v>15</v>
      </c>
      <c r="K7" s="4" t="s">
        <v>43</v>
      </c>
    </row>
    <row r="8" spans="1:11" ht="69.25" customHeight="1">
      <c r="A8" s="4" t="s">
        <v>18</v>
      </c>
      <c r="B8" s="4" t="s">
        <v>19</v>
      </c>
      <c r="C8" s="4" t="s">
        <v>20</v>
      </c>
      <c r="D8" s="4" t="s">
        <v>13</v>
      </c>
      <c r="E8" s="7" t="s">
        <v>21</v>
      </c>
      <c r="F8" s="5">
        <v>0.95</v>
      </c>
      <c r="G8" s="6">
        <v>1</v>
      </c>
      <c r="H8" s="5">
        <f t="shared" si="0"/>
        <v>0.95</v>
      </c>
      <c r="I8" s="4" t="s">
        <v>14</v>
      </c>
      <c r="J8" s="4" t="s">
        <v>15</v>
      </c>
      <c r="K8" s="4" t="s">
        <v>22</v>
      </c>
    </row>
    <row r="9" spans="1:11" ht="69.25" customHeight="1">
      <c r="A9" s="19" t="s">
        <v>25</v>
      </c>
      <c r="B9" s="4"/>
      <c r="C9" s="4" t="s">
        <v>55</v>
      </c>
      <c r="D9" s="4" t="s">
        <v>13</v>
      </c>
      <c r="E9" s="7" t="s">
        <v>27</v>
      </c>
      <c r="F9" s="5">
        <v>2.25</v>
      </c>
      <c r="G9" s="6">
        <v>1</v>
      </c>
      <c r="H9" s="5">
        <f t="shared" si="0"/>
        <v>2.25</v>
      </c>
      <c r="I9" s="4" t="s">
        <v>26</v>
      </c>
      <c r="J9" s="4" t="s">
        <v>28</v>
      </c>
      <c r="K9" s="4" t="s">
        <v>29</v>
      </c>
    </row>
    <row r="10" spans="1:11" ht="69.25" customHeight="1">
      <c r="A10" s="19" t="s">
        <v>30</v>
      </c>
      <c r="B10" s="4" t="s">
        <v>31</v>
      </c>
      <c r="C10" s="4" t="s">
        <v>32</v>
      </c>
      <c r="D10" s="4" t="s">
        <v>13</v>
      </c>
      <c r="E10" s="7" t="s">
        <v>33</v>
      </c>
      <c r="F10" s="5">
        <v>2.88</v>
      </c>
      <c r="G10" s="6">
        <v>1</v>
      </c>
      <c r="H10" s="5">
        <f t="shared" si="0"/>
        <v>2.88</v>
      </c>
      <c r="I10" s="4" t="s">
        <v>26</v>
      </c>
      <c r="J10" s="4" t="s">
        <v>15</v>
      </c>
      <c r="K10" s="4" t="s">
        <v>34</v>
      </c>
    </row>
    <row r="11" spans="1:11" ht="69.25" customHeight="1">
      <c r="A11" s="4" t="s">
        <v>30</v>
      </c>
      <c r="B11" s="4" t="s">
        <v>53</v>
      </c>
      <c r="C11" s="4" t="s">
        <v>35</v>
      </c>
      <c r="D11" s="4"/>
      <c r="E11" s="7" t="s">
        <v>56</v>
      </c>
      <c r="F11" s="5"/>
      <c r="G11" s="6">
        <v>1</v>
      </c>
      <c r="H11" s="5"/>
      <c r="I11" s="4" t="s">
        <v>57</v>
      </c>
      <c r="J11" s="4"/>
      <c r="K11" s="4" t="s">
        <v>54</v>
      </c>
    </row>
    <row r="12" spans="1:11" ht="69.25" customHeight="1">
      <c r="A12" s="9" t="s">
        <v>12</v>
      </c>
      <c r="B12" s="9" t="s">
        <v>51</v>
      </c>
      <c r="C12" s="9" t="s">
        <v>46</v>
      </c>
      <c r="D12" s="9" t="s">
        <v>52</v>
      </c>
      <c r="E12" s="7" t="s">
        <v>50</v>
      </c>
      <c r="F12" s="10">
        <f>19.99/3</f>
        <v>6.6633333333333331</v>
      </c>
      <c r="G12" s="11">
        <v>3</v>
      </c>
      <c r="H12" s="10">
        <f>F12*G12</f>
        <v>19.989999999999998</v>
      </c>
      <c r="I12" s="9" t="s">
        <v>14</v>
      </c>
      <c r="J12" s="4" t="s">
        <v>15</v>
      </c>
      <c r="K12" s="9" t="s">
        <v>45</v>
      </c>
    </row>
    <row r="13" spans="1:11" ht="69.25" customHeight="1">
      <c r="A13" s="9" t="s">
        <v>42</v>
      </c>
      <c r="B13" s="9" t="s">
        <v>59</v>
      </c>
      <c r="C13" s="9" t="s">
        <v>47</v>
      </c>
      <c r="D13" s="9" t="s">
        <v>61</v>
      </c>
      <c r="E13" s="7" t="s">
        <v>60</v>
      </c>
      <c r="F13" s="10">
        <v>9.99</v>
      </c>
      <c r="G13" s="11">
        <v>1</v>
      </c>
      <c r="H13" s="10">
        <v>9.99</v>
      </c>
      <c r="I13" s="9" t="s">
        <v>42</v>
      </c>
      <c r="J13" s="4" t="s">
        <v>15</v>
      </c>
      <c r="K13" s="9" t="s">
        <v>44</v>
      </c>
    </row>
    <row r="14" spans="1:11" ht="30">
      <c r="A14" s="4" t="s">
        <v>58</v>
      </c>
      <c r="B14" s="4" t="s">
        <v>65</v>
      </c>
      <c r="C14" s="4" t="s">
        <v>66</v>
      </c>
      <c r="E14" s="15" t="s">
        <v>62</v>
      </c>
      <c r="F14" s="5">
        <v>22.69</v>
      </c>
      <c r="G14" s="6">
        <v>1</v>
      </c>
      <c r="H14" s="20">
        <v>22.69</v>
      </c>
      <c r="I14" s="4" t="s">
        <v>58</v>
      </c>
      <c r="J14" s="4" t="s">
        <v>63</v>
      </c>
      <c r="K14" s="4" t="s">
        <v>64</v>
      </c>
    </row>
    <row r="15" spans="1:11">
      <c r="B15" t="str">
        <f t="shared" ref="B15:B21" si="1">""</f>
        <v/>
      </c>
    </row>
    <row r="16" spans="1:11" ht="15">
      <c r="A16" s="13" t="s">
        <v>40</v>
      </c>
      <c r="B16" s="14" t="str">
        <f t="shared" si="1"/>
        <v/>
      </c>
    </row>
    <row r="17" spans="1:2">
      <c r="A17" s="8" t="s">
        <v>12</v>
      </c>
      <c r="B17" s="12" t="str">
        <f t="shared" si="1"/>
        <v/>
      </c>
    </row>
    <row r="18" spans="1:2">
      <c r="A18" s="8" t="s">
        <v>16</v>
      </c>
      <c r="B18" s="12" t="str">
        <f t="shared" si="1"/>
        <v/>
      </c>
    </row>
    <row r="19" spans="1:2">
      <c r="A19" s="8" t="s">
        <v>18</v>
      </c>
      <c r="B19" s="12" t="str">
        <f t="shared" si="1"/>
        <v/>
      </c>
    </row>
    <row r="20" spans="1:2">
      <c r="A20" s="8" t="s">
        <v>23</v>
      </c>
      <c r="B20" s="12" t="str">
        <f t="shared" si="1"/>
        <v/>
      </c>
    </row>
    <row r="21" spans="1:2">
      <c r="A21" s="8" t="s">
        <v>24</v>
      </c>
      <c r="B21" s="12" t="str">
        <f t="shared" si="1"/>
        <v/>
      </c>
    </row>
    <row r="22" spans="1:2">
      <c r="A22" s="8" t="s">
        <v>25</v>
      </c>
      <c r="B22" s="12">
        <f>SUMIF($A$7:$A$13,A22,$H$7:$H$13)</f>
        <v>2.25</v>
      </c>
    </row>
    <row r="23" spans="1:2">
      <c r="A23" s="8" t="s">
        <v>30</v>
      </c>
      <c r="B23" s="12">
        <f>SUMIF($A$7:$A$13,A23,$H$7:$H$13)</f>
        <v>2.88</v>
      </c>
    </row>
    <row r="24" spans="1:2">
      <c r="A24" s="8" t="s">
        <v>36</v>
      </c>
      <c r="B24" s="12">
        <f>SUMIF($A$7:$A$13,A24,$H$7:$H$13)</f>
        <v>0</v>
      </c>
    </row>
    <row r="25" spans="1:2">
      <c r="A25" s="8" t="s">
        <v>39</v>
      </c>
      <c r="B25" s="12">
        <f>SUMIF($A$7:$A$13,A25,$H$7:$H$13)</f>
        <v>0</v>
      </c>
    </row>
    <row r="26" spans="1:2">
      <c r="A26" s="8"/>
      <c r="B26" s="8"/>
    </row>
    <row r="27" spans="1:2" ht="15">
      <c r="A27" s="13" t="s">
        <v>41</v>
      </c>
      <c r="B27" s="14">
        <f>SUM($H$7:$H$14)</f>
        <v>71.7</v>
      </c>
    </row>
  </sheetData>
  <mergeCells count="5">
    <mergeCell ref="A1:K1"/>
    <mergeCell ref="A2:K2"/>
    <mergeCell ref="A4:B4"/>
    <mergeCell ref="D4:E4"/>
    <mergeCell ref="I4:J4"/>
  </mergeCells>
  <dataValidations count="1">
    <dataValidation type="list" sqref="I7:I13" xr:uid="{00000000-0002-0000-0000-000001000000}">
      <formula1>"EE Lead,Firmware / MCU / IMU,Power / Circuits,PCB / Hardware"</formula1>
    </dataValidation>
  </dataValidations>
  <hyperlinks>
    <hyperlink ref="E7" r:id="rId1" xr:uid="{00000000-0004-0000-0000-000001000000}"/>
    <hyperlink ref="E8" r:id="rId2" xr:uid="{00000000-0004-0000-0000-000002000000}"/>
    <hyperlink ref="E9" r:id="rId3" xr:uid="{00000000-0004-0000-0000-00000B000000}"/>
    <hyperlink ref="E10" r:id="rId4" xr:uid="{00000000-0004-0000-0000-00000C000000}"/>
    <hyperlink ref="E12" r:id="rId5" xr:uid="{59F68FD3-216E-984C-8AA4-3C41D0297640}"/>
    <hyperlink ref="E11" r:id="rId6" xr:uid="{FE57CD68-7C12-C649-9621-E15353D769C3}"/>
    <hyperlink ref="E13" r:id="rId7" xr:uid="{B3E8E3AB-C6C1-3146-9116-0E5763DA8F5C}"/>
    <hyperlink ref="E14" r:id="rId8" xr:uid="{24A430F8-8018-AA44-8F51-4FB8DD57F239}"/>
  </hyperlinks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Duy P. Truong</cp:lastModifiedBy>
  <dcterms:created xsi:type="dcterms:W3CDTF">2026-09-09T00:14:46Z</dcterms:created>
  <dcterms:modified xsi:type="dcterms:W3CDTF">2026-10-18T21:46:49Z</dcterms:modified>
</cp:coreProperties>
</file>