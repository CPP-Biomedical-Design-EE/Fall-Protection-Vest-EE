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7"/>
  <workbookPr/>
  <mc:AlternateContent xmlns:mc="http://schemas.openxmlformats.org/markup-compatibility/2006">
    <mc:Choice Requires="x15">
      <x15ac:absPath xmlns:x15ac="http://schemas.microsoft.com/office/spreadsheetml/2010/11/ac" url="/Users/phongtruong2003/Desktop/Inflate Body/"/>
    </mc:Choice>
  </mc:AlternateContent>
  <xr:revisionPtr revIDLastSave="0" documentId="13_ncr:1_{A9547E43-FD0F-8C46-B3E8-509CFAF02A76}" xr6:coauthVersionLast="47" xr6:coauthVersionMax="47" xr10:uidLastSave="{00000000-0000-0000-0000-000000000000}"/>
  <bookViews>
    <workbookView xWindow="17100" yWindow="680" windowWidth="17100" windowHeight="20040" xr2:uid="{00000000-000D-0000-FFFF-FFFF00000000}"/>
  </bookViews>
  <sheets>
    <sheet name="EE BOM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2" i="1" l="1"/>
  <c r="H12" i="1" s="1"/>
  <c r="H13" i="1"/>
  <c r="B21" i="1"/>
  <c r="B20" i="1"/>
  <c r="B19" i="1"/>
  <c r="B18" i="1"/>
  <c r="B17" i="1"/>
  <c r="B16" i="1"/>
  <c r="B15" i="1"/>
  <c r="B14" i="1"/>
  <c r="B24" i="1"/>
  <c r="H10" i="1"/>
  <c r="H9" i="1"/>
  <c r="H8" i="1"/>
  <c r="H7" i="1"/>
  <c r="B25" i="1" l="1"/>
  <c r="B22" i="1"/>
  <c r="B23" i="1"/>
  <c r="B27" i="1"/>
</calcChain>
</file>

<file path=xl/sharedStrings.xml><?xml version="1.0" encoding="utf-8"?>
<sst xmlns="http://schemas.openxmlformats.org/spreadsheetml/2006/main" count="92" uniqueCount="68">
  <si>
    <t>Note: Shipping, tax, not included.</t>
  </si>
  <si>
    <t>Buy Now total</t>
  </si>
  <si>
    <t>Category</t>
  </si>
  <si>
    <t>Item Name</t>
  </si>
  <si>
    <t>Purpose</t>
  </si>
  <si>
    <t>Shop</t>
  </si>
  <si>
    <t>Unit Price</t>
  </si>
  <si>
    <t>Quantity</t>
  </si>
  <si>
    <t>Total</t>
  </si>
  <si>
    <t>Buy Now / Later</t>
  </si>
  <si>
    <t>Team Owner</t>
  </si>
  <si>
    <t>Stock / Choice</t>
  </si>
  <si>
    <t>Notes</t>
  </si>
  <si>
    <t>Price Checked</t>
  </si>
  <si>
    <t>Controller</t>
  </si>
  <si>
    <t>DigiKey</t>
  </si>
  <si>
    <t>Buy Now</t>
  </si>
  <si>
    <t>Firmware / MCU / IMU</t>
  </si>
  <si>
    <t>In stock</t>
  </si>
  <si>
    <t>9/3/2026</t>
  </si>
  <si>
    <t>Sensor</t>
  </si>
  <si>
    <t>Detect motion</t>
  </si>
  <si>
    <t>Cable</t>
  </si>
  <si>
    <t>STEMMA QT header cable</t>
  </si>
  <si>
    <t>Connect the IMU</t>
  </si>
  <si>
    <t>https://www.digikey.com/en/products/detail/adafruit-industries-llc/4209/10230003</t>
  </si>
  <si>
    <t>For I2C wiring.</t>
  </si>
  <si>
    <t>Prototyping</t>
  </si>
  <si>
    <t>Testing</t>
  </si>
  <si>
    <t>Power</t>
  </si>
  <si>
    <t>Buy Later</t>
  </si>
  <si>
    <t>Power / Circuits</t>
  </si>
  <si>
    <t>https://www.digikey.com/en/products/detail/sparkfun-electronics/00526/17828344</t>
  </si>
  <si>
    <t>Not stocked</t>
  </si>
  <si>
    <t>May not be needed with the board.</t>
  </si>
  <si>
    <t>Output</t>
  </si>
  <si>
    <t>N-channel MOSFET</t>
  </si>
  <si>
    <t>Switch the valve</t>
  </si>
  <si>
    <t>https://www.digikey.com/en/products/detail/stmicroelectronics/STP55NF06L/1039551</t>
  </si>
  <si>
    <t>Confirm valve current first.</t>
  </si>
  <si>
    <t>Control air flow</t>
  </si>
  <si>
    <t>PCB</t>
  </si>
  <si>
    <t>Fall Protection Vest - EE Parts List</t>
  </si>
  <si>
    <t>Product Link</t>
  </si>
  <si>
    <t>Optional / Future Features</t>
  </si>
  <si>
    <t>9/8/2026</t>
  </si>
  <si>
    <t>NEO-6M GPS module</t>
  </si>
  <si>
    <t>Category subtotal</t>
  </si>
  <si>
    <t>EE material total</t>
  </si>
  <si>
    <t>https://www.amazon.com/YELUFT-GY-NEO6MV2-Control-Support-Raspberry/dp/B0F2DKWJ4J/ref=sr_1_5?crid=116EGIA65O3RM&amp;dib=eyJ2IjoiMSJ9._JPp2AFGHWD_4dT5XNP-SnycfWRcMEOIub2ZYPONWQCLCLeiU7IqwyEKS3O7elcKxsS4py1gFeZ29XIWHm3QTQ3QX_M8mEECUlKve1ZeAJ8Sea1zyersA8alZieFz783-0tomvuy7tnT7_plsjbRSkmZne4iC7YSXRxw8aODNDlKrBKc52KSxYyvh4mKNzSCc9jvfxMSm6pLkugQCZksvUxxBY3AoB3QW4X--jUrNn5T5i-aCIDrq5RVg4QEaVsgrToN-ionJzHsbWyn2QLOyEeYSgOXiigk-v-RNM3CDFg.Pa5G0Wery0aCEinKh-zrDlm7cRXMrO8CM8Sp6U33dIg&amp;dib_tag=se&amp;keywords=neo%2B6m&amp;qid=1788912414&amp;sprefix=%2Caps%2C165&amp;sr=8-5&amp;th=1</t>
  </si>
  <si>
    <t>GPS</t>
  </si>
  <si>
    <t>Amazon</t>
  </si>
  <si>
    <t>One IMU only.</t>
  </si>
  <si>
    <t>Use one only</t>
  </si>
  <si>
    <t>Main</t>
  </si>
  <si>
    <t>Controller for communication tests</t>
  </si>
  <si>
    <t>Location tracking prototype</t>
  </si>
  <si>
    <t>MPU-6050</t>
  </si>
  <si>
    <t>https://www.adafruit.com/product/3886?srsltid=AU7gw4WnAwnsa6XQEJQMAQ7IDdbr5B9YmRXPVD73ghnO41sUwc1LvaE4</t>
  </si>
  <si>
    <t>https://www.microcenter.com/product/704603/elegoo-esp-32-development-board-3-pack</t>
  </si>
  <si>
    <t>Elegoo ESP-32</t>
  </si>
  <si>
    <t xml:space="preserve">Microcenter </t>
  </si>
  <si>
    <t>Pin Punchcture for gas.  (Servo)</t>
  </si>
  <si>
    <t>Mechanical Decision</t>
  </si>
  <si>
    <t>5 V regulator</t>
  </si>
  <si>
    <t>Make 5 V power for MCU</t>
  </si>
  <si>
    <t>https://rcprinter.com/products/mg90s-metal-gear-9g-micro-servo</t>
  </si>
  <si>
    <t>Mech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</si>
</sst>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$#,##0.00"/>
  </numFmts>
  <fonts count="7">
    <font>
      <sz val="11"/>
      <name val="Carlito"/>
    </font>
    <font>
      <b/>
      <sz val="14"/>
      <color rgb="FF000000"/>
      <name val="Calibri"/>
      <family val="2"/>
    </font>
    <font>
      <i/>
      <sz val="11"/>
      <name val="Carlito"/>
    </font>
    <font>
      <b/>
      <sz val="11"/>
      <name val="Carlito"/>
    </font>
    <font>
      <sz val="11"/>
      <color theme="10"/>
      <name val="Carlito"/>
    </font>
    <font>
      <sz val="11"/>
      <color rgb="FF000000"/>
      <name val="Carlito"/>
    </font>
    <font>
      <b/>
      <sz val="11"/>
      <color rgb="FF000000"/>
      <name val="Carlito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rgb="FF000000"/>
      </bottom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19">
    <xf numFmtId="0" fontId="0" fillId="0" borderId="0" xfId="0"/>
    <xf numFmtId="0" fontId="3" fillId="0" borderId="0" xfId="0" applyFont="1"/>
    <xf numFmtId="164" fontId="3" fillId="0" borderId="0" xfId="0" applyNumberFormat="1" applyFont="1"/>
    <xf numFmtId="0" fontId="3" fillId="0" borderId="1" xfId="0" applyFont="1" applyBorder="1" applyAlignment="1">
      <alignment horizontal="center" vertical="center" wrapText="1"/>
    </xf>
    <xf numFmtId="0" fontId="0" fillId="0" borderId="0" xfId="0" applyAlignment="1">
      <alignment vertical="top" wrapText="1"/>
    </xf>
    <xf numFmtId="164" fontId="0" fillId="0" borderId="0" xfId="0" applyNumberFormat="1" applyAlignment="1">
      <alignment vertical="top" wrapText="1"/>
    </xf>
    <xf numFmtId="1" fontId="0" fillId="0" borderId="0" xfId="0" applyNumberFormat="1" applyAlignment="1">
      <alignment vertical="top" wrapText="1"/>
    </xf>
    <xf numFmtId="0" fontId="4" fillId="0" borderId="0" xfId="1" applyAlignment="1">
      <alignment vertical="top" wrapText="1"/>
    </xf>
    <xf numFmtId="0" fontId="5" fillId="0" borderId="0" xfId="0" applyFont="1"/>
    <xf numFmtId="0" fontId="5" fillId="0" borderId="0" xfId="0" applyFont="1" applyAlignment="1">
      <alignment vertical="top" wrapText="1"/>
    </xf>
    <xf numFmtId="164" fontId="5" fillId="0" borderId="0" xfId="0" applyNumberFormat="1" applyFont="1" applyAlignment="1">
      <alignment vertical="top" wrapText="1"/>
    </xf>
    <xf numFmtId="1" fontId="5" fillId="0" borderId="0" xfId="0" applyNumberFormat="1" applyFont="1" applyAlignment="1">
      <alignment vertical="top" wrapText="1"/>
    </xf>
    <xf numFmtId="164" fontId="5" fillId="0" borderId="0" xfId="0" applyNumberFormat="1" applyFont="1"/>
    <xf numFmtId="0" fontId="6" fillId="0" borderId="0" xfId="0" applyFont="1"/>
    <xf numFmtId="164" fontId="6" fillId="0" borderId="0" xfId="0" applyNumberFormat="1" applyFont="1"/>
    <xf numFmtId="14" fontId="0" fillId="0" borderId="0" xfId="0" applyNumberFormat="1" applyAlignment="1">
      <alignment vertical="top" wrapText="1"/>
    </xf>
    <xf numFmtId="0" fontId="1" fillId="0" borderId="0" xfId="0" applyFont="1" applyAlignment="1">
      <alignment horizontal="left"/>
    </xf>
    <xf numFmtId="0" fontId="2" fillId="0" borderId="0" xfId="0" applyFont="1" applyAlignment="1">
      <alignment wrapText="1"/>
    </xf>
    <xf numFmtId="0" fontId="3" fillId="0" borderId="0" xfId="0" applyFont="1"/>
  </cellXfs>
  <cellStyles count="2">
    <cellStyle name="Hyperlink" xfId="1" xr:uid="{00000000-0005-0000-0000-000000000000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digikey.com/en/products/detail/sparkfun-electronics/00526/17828344" TargetMode="External"/><Relationship Id="rId2" Type="http://schemas.openxmlformats.org/officeDocument/2006/relationships/hyperlink" Target="https://www.digikey.com/en/products/detail/adafruit-industries-llc/4209/10230003" TargetMode="External"/><Relationship Id="rId1" Type="http://schemas.openxmlformats.org/officeDocument/2006/relationships/hyperlink" Target="https://www.adafruit.com/product/3886?srsltid=AU7gw4WnAwnsa6XQEJQMAQ7IDdbr5B9YmRXPVD73ghnO41sUwc1LvaE4" TargetMode="External"/><Relationship Id="rId6" Type="http://schemas.openxmlformats.org/officeDocument/2006/relationships/hyperlink" Target="https://rcprinter.com/products/mg90s-metal-gear-9g-micro-servo" TargetMode="External"/><Relationship Id="rId5" Type="http://schemas.openxmlformats.org/officeDocument/2006/relationships/hyperlink" Target="https://www.microcenter.com/product/704603/elegoo-esp-32-development-board-3-pack" TargetMode="External"/><Relationship Id="rId4" Type="http://schemas.openxmlformats.org/officeDocument/2006/relationships/hyperlink" Target="https://www.digikey.com/en/products/detail/stmicroelectronics/STP55NF06L/103955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27"/>
  <sheetViews>
    <sheetView tabSelected="1" topLeftCell="A7" zoomScale="132" workbookViewId="0">
      <selection activeCell="E9" sqref="E9"/>
    </sheetView>
  </sheetViews>
  <sheetFormatPr baseColWidth="10" defaultColWidth="8.83203125" defaultRowHeight="14"/>
  <cols>
    <col min="1" max="1" width="20" customWidth="1"/>
    <col min="2" max="2" width="27" customWidth="1"/>
    <col min="3" max="3" width="22" customWidth="1"/>
    <col min="4" max="4" width="12" customWidth="1"/>
    <col min="5" max="5" width="50" customWidth="1"/>
    <col min="6" max="6" width="11" customWidth="1"/>
    <col min="7" max="7" width="9" customWidth="1"/>
    <col min="8" max="8" width="11" customWidth="1"/>
    <col min="9" max="9" width="15" customWidth="1"/>
    <col min="10" max="10" width="21" customWidth="1"/>
    <col min="11" max="11" width="16" customWidth="1"/>
    <col min="12" max="12" width="30" customWidth="1"/>
    <col min="13" max="13" width="28" customWidth="1"/>
  </cols>
  <sheetData>
    <row r="1" spans="1:13" ht="19">
      <c r="A1" s="16" t="s">
        <v>42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</row>
    <row r="2" spans="1:13" ht="15">
      <c r="A2" s="17" t="s">
        <v>0</v>
      </c>
      <c r="B2" s="17"/>
      <c r="C2" s="17"/>
      <c r="D2" s="17"/>
      <c r="E2" s="17"/>
      <c r="F2" s="17"/>
      <c r="G2" s="17"/>
      <c r="H2" s="17"/>
      <c r="I2" s="17"/>
      <c r="J2" s="17"/>
      <c r="K2" s="17"/>
      <c r="L2" s="17"/>
      <c r="M2" s="17"/>
    </row>
    <row r="4" spans="1:13" ht="15">
      <c r="A4" s="18" t="s">
        <v>1</v>
      </c>
      <c r="B4" s="18"/>
      <c r="C4" s="1"/>
      <c r="D4" s="18"/>
      <c r="E4" s="18"/>
      <c r="F4" s="2"/>
      <c r="G4" s="1"/>
      <c r="H4" s="18"/>
      <c r="I4" s="18"/>
      <c r="J4" s="18"/>
      <c r="K4" s="18"/>
      <c r="L4" s="1"/>
      <c r="M4" s="1"/>
    </row>
    <row r="6" spans="1:13" ht="48" customHeight="1">
      <c r="A6" s="3" t="s">
        <v>2</v>
      </c>
      <c r="B6" s="3" t="s">
        <v>3</v>
      </c>
      <c r="C6" s="3" t="s">
        <v>4</v>
      </c>
      <c r="D6" s="3" t="s">
        <v>5</v>
      </c>
      <c r="E6" s="3" t="s">
        <v>43</v>
      </c>
      <c r="F6" s="3" t="s">
        <v>6</v>
      </c>
      <c r="G6" s="3" t="s">
        <v>7</v>
      </c>
      <c r="H6" s="3" t="s">
        <v>8</v>
      </c>
      <c r="I6" s="3" t="s">
        <v>9</v>
      </c>
      <c r="J6" s="3" t="s">
        <v>10</v>
      </c>
      <c r="K6" s="3" t="s">
        <v>11</v>
      </c>
      <c r="L6" s="3" t="s">
        <v>12</v>
      </c>
      <c r="M6" s="3" t="s">
        <v>13</v>
      </c>
    </row>
    <row r="7" spans="1:13" ht="69.25" customHeight="1">
      <c r="A7" s="4" t="s">
        <v>20</v>
      </c>
      <c r="B7" s="4" t="s">
        <v>57</v>
      </c>
      <c r="C7" s="4" t="s">
        <v>21</v>
      </c>
      <c r="D7" s="4" t="s">
        <v>15</v>
      </c>
      <c r="E7" s="7" t="s">
        <v>58</v>
      </c>
      <c r="F7" s="5">
        <v>12.95</v>
      </c>
      <c r="G7" s="6">
        <v>1</v>
      </c>
      <c r="H7" s="5">
        <f t="shared" ref="H7:H10" si="0">F7*G7</f>
        <v>12.95</v>
      </c>
      <c r="I7" s="4" t="s">
        <v>16</v>
      </c>
      <c r="J7" s="4" t="s">
        <v>17</v>
      </c>
      <c r="K7" s="4" t="s">
        <v>18</v>
      </c>
      <c r="L7" s="4" t="s">
        <v>52</v>
      </c>
      <c r="M7" s="15">
        <v>46301</v>
      </c>
    </row>
    <row r="8" spans="1:13" ht="69.25" customHeight="1">
      <c r="A8" s="4" t="s">
        <v>22</v>
      </c>
      <c r="B8" s="4" t="s">
        <v>23</v>
      </c>
      <c r="C8" s="4" t="s">
        <v>24</v>
      </c>
      <c r="D8" s="4" t="s">
        <v>15</v>
      </c>
      <c r="E8" s="7" t="s">
        <v>25</v>
      </c>
      <c r="F8" s="5">
        <v>0.95</v>
      </c>
      <c r="G8" s="6">
        <v>1</v>
      </c>
      <c r="H8" s="5">
        <f t="shared" si="0"/>
        <v>0.95</v>
      </c>
      <c r="I8" s="4" t="s">
        <v>16</v>
      </c>
      <c r="J8" s="4" t="s">
        <v>17</v>
      </c>
      <c r="K8" s="4" t="s">
        <v>18</v>
      </c>
      <c r="L8" s="4" t="s">
        <v>26</v>
      </c>
      <c r="M8" s="4" t="s">
        <v>19</v>
      </c>
    </row>
    <row r="9" spans="1:13" ht="69.25" customHeight="1">
      <c r="A9" s="4" t="s">
        <v>29</v>
      </c>
      <c r="B9" s="4" t="s">
        <v>64</v>
      </c>
      <c r="C9" s="4" t="s">
        <v>65</v>
      </c>
      <c r="D9" s="4" t="s">
        <v>15</v>
      </c>
      <c r="E9" s="7" t="s">
        <v>32</v>
      </c>
      <c r="F9" s="5">
        <v>2.25</v>
      </c>
      <c r="G9" s="6">
        <v>1</v>
      </c>
      <c r="H9" s="5">
        <f t="shared" si="0"/>
        <v>2.25</v>
      </c>
      <c r="I9" s="4" t="s">
        <v>30</v>
      </c>
      <c r="J9" s="4" t="s">
        <v>31</v>
      </c>
      <c r="K9" s="4" t="s">
        <v>33</v>
      </c>
      <c r="L9" s="4" t="s">
        <v>34</v>
      </c>
      <c r="M9" s="4" t="s">
        <v>19</v>
      </c>
    </row>
    <row r="10" spans="1:13" ht="69.25" customHeight="1">
      <c r="A10" s="4" t="s">
        <v>35</v>
      </c>
      <c r="B10" s="4" t="s">
        <v>36</v>
      </c>
      <c r="C10" s="4" t="s">
        <v>37</v>
      </c>
      <c r="D10" s="4" t="s">
        <v>15</v>
      </c>
      <c r="E10" s="7" t="s">
        <v>38</v>
      </c>
      <c r="F10" s="5">
        <v>2.88</v>
      </c>
      <c r="G10" s="6">
        <v>1</v>
      </c>
      <c r="H10" s="5">
        <f t="shared" si="0"/>
        <v>2.88</v>
      </c>
      <c r="I10" s="4" t="s">
        <v>30</v>
      </c>
      <c r="J10" s="4" t="s">
        <v>31</v>
      </c>
      <c r="K10" s="4" t="s">
        <v>18</v>
      </c>
      <c r="L10" s="4" t="s">
        <v>39</v>
      </c>
      <c r="M10" s="4" t="s">
        <v>19</v>
      </c>
    </row>
    <row r="11" spans="1:13" ht="69.25" customHeight="1">
      <c r="A11" s="4" t="s">
        <v>35</v>
      </c>
      <c r="B11" s="4" t="s">
        <v>62</v>
      </c>
      <c r="C11" s="4" t="s">
        <v>40</v>
      </c>
      <c r="D11" s="4"/>
      <c r="E11" s="7" t="s">
        <v>66</v>
      </c>
      <c r="F11" s="5"/>
      <c r="G11" s="6">
        <v>1</v>
      </c>
      <c r="H11" s="5"/>
      <c r="I11" s="4"/>
      <c r="J11" s="4" t="s">
        <v>67</v>
      </c>
      <c r="K11" s="4"/>
      <c r="L11" s="4" t="s">
        <v>63</v>
      </c>
      <c r="M11" s="15"/>
    </row>
    <row r="12" spans="1:13" ht="69.25" customHeight="1">
      <c r="A12" s="9" t="s">
        <v>14</v>
      </c>
      <c r="B12" s="9" t="s">
        <v>60</v>
      </c>
      <c r="C12" s="9" t="s">
        <v>55</v>
      </c>
      <c r="D12" s="9" t="s">
        <v>61</v>
      </c>
      <c r="E12" s="7" t="s">
        <v>59</v>
      </c>
      <c r="F12" s="10">
        <f>19.99/3</f>
        <v>6.6633333333333331</v>
      </c>
      <c r="G12" s="11">
        <v>3</v>
      </c>
      <c r="H12" s="10">
        <f>F12*G12</f>
        <v>19.989999999999998</v>
      </c>
      <c r="I12" s="9" t="s">
        <v>30</v>
      </c>
      <c r="J12" s="9" t="s">
        <v>17</v>
      </c>
      <c r="K12" s="4" t="s">
        <v>18</v>
      </c>
      <c r="L12" s="9" t="s">
        <v>54</v>
      </c>
      <c r="M12" s="9" t="s">
        <v>45</v>
      </c>
    </row>
    <row r="13" spans="1:13" ht="69.25" customHeight="1">
      <c r="A13" s="9" t="s">
        <v>50</v>
      </c>
      <c r="B13" s="9" t="s">
        <v>46</v>
      </c>
      <c r="C13" s="9" t="s">
        <v>56</v>
      </c>
      <c r="D13" s="9" t="s">
        <v>51</v>
      </c>
      <c r="E13" s="7" t="s">
        <v>49</v>
      </c>
      <c r="F13" s="10">
        <v>11.99</v>
      </c>
      <c r="G13" s="11">
        <v>2</v>
      </c>
      <c r="H13" s="10">
        <f>11.99</f>
        <v>11.99</v>
      </c>
      <c r="I13" s="9" t="s">
        <v>30</v>
      </c>
      <c r="J13" s="9" t="s">
        <v>17</v>
      </c>
      <c r="K13" s="4" t="s">
        <v>18</v>
      </c>
      <c r="L13" s="9" t="s">
        <v>53</v>
      </c>
      <c r="M13" s="9" t="s">
        <v>45</v>
      </c>
    </row>
    <row r="14" spans="1:13">
      <c r="B14" t="str">
        <f t="shared" ref="B14:B21" si="1">""</f>
        <v/>
      </c>
    </row>
    <row r="15" spans="1:13">
      <c r="B15" t="str">
        <f t="shared" si="1"/>
        <v/>
      </c>
    </row>
    <row r="16" spans="1:13" ht="15">
      <c r="A16" s="13" t="s">
        <v>47</v>
      </c>
      <c r="B16" s="14" t="str">
        <f t="shared" si="1"/>
        <v/>
      </c>
    </row>
    <row r="17" spans="1:2">
      <c r="A17" s="8" t="s">
        <v>14</v>
      </c>
      <c r="B17" s="12" t="str">
        <f t="shared" si="1"/>
        <v/>
      </c>
    </row>
    <row r="18" spans="1:2">
      <c r="A18" s="8" t="s">
        <v>20</v>
      </c>
      <c r="B18" s="12" t="str">
        <f t="shared" si="1"/>
        <v/>
      </c>
    </row>
    <row r="19" spans="1:2">
      <c r="A19" s="8" t="s">
        <v>22</v>
      </c>
      <c r="B19" s="12" t="str">
        <f t="shared" si="1"/>
        <v/>
      </c>
    </row>
    <row r="20" spans="1:2">
      <c r="A20" s="8" t="s">
        <v>27</v>
      </c>
      <c r="B20" s="12" t="str">
        <f t="shared" si="1"/>
        <v/>
      </c>
    </row>
    <row r="21" spans="1:2">
      <c r="A21" s="8" t="s">
        <v>28</v>
      </c>
      <c r="B21" s="12" t="str">
        <f t="shared" si="1"/>
        <v/>
      </c>
    </row>
    <row r="22" spans="1:2">
      <c r="A22" s="8" t="s">
        <v>29</v>
      </c>
      <c r="B22" s="12">
        <f>SUMIF($A$7:$A$13,A22,$H$7:$H$13)</f>
        <v>2.25</v>
      </c>
    </row>
    <row r="23" spans="1:2">
      <c r="A23" s="8" t="s">
        <v>35</v>
      </c>
      <c r="B23" s="12">
        <f>SUMIF($A$7:$A$13,A23,$H$7:$H$13)</f>
        <v>2.88</v>
      </c>
    </row>
    <row r="24" spans="1:2">
      <c r="A24" s="8" t="s">
        <v>41</v>
      </c>
      <c r="B24" s="12">
        <f>SUMIF($A$7:$A$13,A24,$H$7:$H$13)</f>
        <v>0</v>
      </c>
    </row>
    <row r="25" spans="1:2">
      <c r="A25" s="8" t="s">
        <v>44</v>
      </c>
      <c r="B25" s="12">
        <f>SUMIF($A$7:$A$13,A25,$H$7:$H$13)</f>
        <v>0</v>
      </c>
    </row>
    <row r="26" spans="1:2">
      <c r="A26" s="8"/>
      <c r="B26" s="8"/>
    </row>
    <row r="27" spans="1:2" ht="15">
      <c r="A27" s="13" t="s">
        <v>48</v>
      </c>
      <c r="B27" s="14">
        <f>SUM($H$7:$H$13)</f>
        <v>51.01</v>
      </c>
    </row>
  </sheetData>
  <mergeCells count="6">
    <mergeCell ref="A1:M1"/>
    <mergeCell ref="A2:M2"/>
    <mergeCell ref="A4:B4"/>
    <mergeCell ref="D4:E4"/>
    <mergeCell ref="H4:I4"/>
    <mergeCell ref="J4:K4"/>
  </mergeCells>
  <dataValidations count="2">
    <dataValidation type="list" sqref="I7:I13" xr:uid="{00000000-0002-0000-0000-000000000000}">
      <formula1>"Buy Now,Buy Later"</formula1>
    </dataValidation>
    <dataValidation type="list" sqref="J7:J13" xr:uid="{00000000-0002-0000-0000-000001000000}">
      <formula1>"EE Lead,Firmware / MCU / IMU,Power / Circuits,PCB / Hardware"</formula1>
    </dataValidation>
  </dataValidations>
  <hyperlinks>
    <hyperlink ref="E7" r:id="rId1" xr:uid="{00000000-0004-0000-0000-000001000000}"/>
    <hyperlink ref="E8" r:id="rId2" xr:uid="{00000000-0004-0000-0000-000002000000}"/>
    <hyperlink ref="E9" r:id="rId3" xr:uid="{00000000-0004-0000-0000-00000B000000}"/>
    <hyperlink ref="E10" r:id="rId4" xr:uid="{00000000-0004-0000-0000-00000C000000}"/>
    <hyperlink ref="E12" r:id="rId5" xr:uid="{59F68FD3-216E-984C-8AA4-3C41D0297640}"/>
    <hyperlink ref="E11" r:id="rId6" xr:uid="{FE57CD68-7C12-C649-9621-E15353D769C3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EE BOM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Duy P. Truong</cp:lastModifiedBy>
  <dcterms:created xsi:type="dcterms:W3CDTF">2026-09-09T00:14:46Z</dcterms:created>
  <dcterms:modified xsi:type="dcterms:W3CDTF">2026-10-12T02:36:50Z</dcterms:modified>
</cp:coreProperties>
</file>